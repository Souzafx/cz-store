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 de Lucro da Loja" sheetId="1" r:id="rId5"/>
  </sheets>
  <definedNames/>
  <calcPr/>
</workbook>
</file>

<file path=xl/sharedStrings.xml><?xml version="1.0" encoding="utf-8"?>
<sst xmlns="http://schemas.openxmlformats.org/spreadsheetml/2006/main" count="31" uniqueCount="26">
  <si>
    <t>Produto</t>
  </si>
  <si>
    <t>Quantidade Comprada</t>
  </si>
  <si>
    <t>Unidades por Venda</t>
  </si>
  <si>
    <t>Quantidade de Vendas</t>
  </si>
  <si>
    <t>Custo Total Compra</t>
  </si>
  <si>
    <t>Impostos / Taxas Importação</t>
  </si>
  <si>
    <t>Custo Total</t>
  </si>
  <si>
    <t>Valor de Revenda</t>
  </si>
  <si>
    <t>Taxa Shopee (%)</t>
  </si>
  <si>
    <t>Retorno por Venda</t>
  </si>
  <si>
    <t>Retorno Total</t>
  </si>
  <si>
    <t>Lucro Total</t>
  </si>
  <si>
    <t>Porcentagem de lucro</t>
  </si>
  <si>
    <t>Link</t>
  </si>
  <si>
    <t>Rastreio</t>
  </si>
  <si>
    <t>Conta</t>
  </si>
  <si>
    <t>conta livre</t>
  </si>
  <si>
    <t>Kailh GM8.0</t>
  </si>
  <si>
    <t>Aliexpress</t>
  </si>
  <si>
    <t>NN109864412BR</t>
  </si>
  <si>
    <t>davidsouzza80</t>
  </si>
  <si>
    <t>Huano Blue Shell</t>
  </si>
  <si>
    <t>NN111690542BR</t>
  </si>
  <si>
    <t>Souzzat.tv</t>
  </si>
  <si>
    <t>dsouzzat.tv</t>
  </si>
  <si>
    <t>houseplets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</si>
</sst>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u/>
      <sz val="13.0"/>
      <color rgb="FF0000FF"/>
    </font>
    <font>
      <sz val="13.0"/>
      <color theme="1"/>
      <name val="Arial"/>
      <scheme val="minor"/>
    </font>
    <font>
      <u/>
      <sz val="13.0"/>
      <color rgb="FF0000FF"/>
    </font>
    <font>
      <sz val="13.0"/>
      <color rgb="FF000000"/>
      <name val="Arial"/>
      <scheme val="minor"/>
    </font>
    <font>
      <color theme="1"/>
      <name val="Arial"/>
      <scheme val="minor"/>
    </font>
    <font>
      <b/>
      <i/>
      <sz val="1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10" xfId="0" applyAlignment="1" applyFont="1" applyNumberForma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3" fontId="6" numFmtId="0" xfId="0" applyAlignment="1" applyFill="1" applyFont="1">
      <alignment horizontal="center"/>
    </xf>
    <xf borderId="0" fillId="3" fontId="6" numFmtId="164" xfId="0" applyAlignment="1" applyFont="1" applyNumberFormat="1">
      <alignment horizontal="center"/>
    </xf>
    <xf borderId="0" fillId="3" fontId="6" numFmtId="10" xfId="0" applyAlignment="1" applyFont="1" applyNumberFormat="1">
      <alignment horizontal="center" readingOrder="0"/>
    </xf>
    <xf borderId="0" fillId="3" fontId="7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streamento.correios.com.br/app/index.php" TargetMode="External"/><Relationship Id="rId2" Type="http://schemas.openxmlformats.org/officeDocument/2006/relationships/hyperlink" Target="https://pt.aliexpress.com/item/1005010786530362.html?spm=a2g0o.home.pcJustForYou.10.37563f40nxEZXZ&amp;gps-id=pcJustForYou&amp;scm=1007.13562.416251.0&amp;scm_id=1007.13562.416251.0&amp;scm-url=1007.13562.416251.0&amp;pvid=d95fb481-8e88-4df5-95d3-2104e6cf61ed&amp;_t=gps-id:pcJustForYou,scm-url:1007.13562.416251.0,pvid:d95fb481-8e88-4df5-95d3-2104e6cf61ed,tpp_buckets:668%232846%238112%231997&amp;pdp_ext_f=%7B%22order%22%3A%2216%22%2C%22eval%22%3A%221%22%2C%22sceneId%22%3A%223562%22%2C%22fromPage%22%3A%22recommend%22%7D&amp;pdp_npi=6%40dis%21BRL%218.32%217.99%21%21%2110.15%219.75%21%4021033d1217726348400578165e5154%2112000056071566363%21rec%21BR%21%21ABX%211%210%21n_tag%3A-29910%3Bd%3Ac20a6de5%3Bm03_new_user%3A-29895&amp;utparam-url=scene%3ApcJustForYou%7Cquery_from%3A%7Cx_object_id%3A1005010786530362%7C_p_origin_prod%3A" TargetMode="External"/><Relationship Id="rId3" Type="http://schemas.openxmlformats.org/officeDocument/2006/relationships/hyperlink" Target="https://pt.aliexpress.com/item/1005005047067558.html?spm=a2g0o.home.pcJustForYou.8.35423f40kmSbYl&amp;gps-id=pcJustForYou&amp;scm=1007.13562.416251.0&amp;scm_id=1007.13562.416251.0&amp;scm-url=1007.13562.416251.0&amp;pvid=1035c229-f22d-4a42-9f74-e9d27f9d69e0&amp;_t=gps-id:pcJustForYou,scm-url:1007.13562.416251.0,pvid:1035c229-f22d-4a42-9f74-e9d27f9d69e0,tpp_buckets:668%232846%238107%231934&amp;pdp_ext_f=%7B%22order%22%3A%22661%22%2C%22eval%22%3A%221%22%2C%22sceneId%22%3A%223562%22%2C%22fromPage%22%3A%22recommend%22%7D&amp;pdp_npi=6%40dis%21BRL%2113.16%216.99%21%21%212.33%211.24%21%4021033d1217726345474412361e5154%2112000031443988489%21rec%21BR%21%21ABXZ%211%210%21n_tag%3A-29910%3Bd%3Ac20a6de5%3Bm03_new_user%3A-29895%3BpisId%3A5000000197929214&amp;utparam-url=scene%3ApcJustForYou%7Cquery_from%3A%7Cx_object_id%3A1005005047067558%7C_p_origin_prod%3A" TargetMode="External"/><Relationship Id="rId4" Type="http://schemas.openxmlformats.org/officeDocument/2006/relationships/hyperlink" Target="http://souzzat.tv/" TargetMode="External"/><Relationship Id="rId5" Type="http://schemas.openxmlformats.org/officeDocument/2006/relationships/hyperlink" Target="https://pt.aliexpress.com/item/1005004754360630.html?spm=a2g0o.productlist.main.1.1100ox3Hox3Hho&amp;algo_pvid=2ef82936-9156-49a6-9c6e-259cdc2dece4&amp;algo_exp_id=2ef82936-9156-49a6-9c6e-259cdc2dece4-0&amp;pdp_ext_f=%7B%22order%22%3A%22900%22%2C%22eval%22%3A%221%22%2C%22fromPage%22%3A%22search%22%7D&amp;pdp_npi=6%40dis%21BRL%2124.18%216.99%21%21%214.28%211.24%21%402101e07217726450216287350e65f9%2112000030346498353%21sea%21BR%210%21ABX%211%210%21n_tag%3A-29910%3Bd%3Ac20a6de5%3Bm03_new_user%3A-29895%3BpisId%3A5000000198346565&amp;curPageLogUid=D3ADJVJDwoBW&amp;utparam-url=scene%3Asearch%7Cquery_from%3A%7Cx_object_id%3A1005004754360630%7C_p_origin_prod%3A" TargetMode="External"/><Relationship Id="rId6" Type="http://schemas.openxmlformats.org/officeDocument/2006/relationships/hyperlink" Target="http://dsouzzat.tv/" TargetMode="External"/><Relationship Id="rId7" Type="http://schemas.openxmlformats.org/officeDocument/2006/relationships/hyperlink" Target="https://pt.aliexpress.com/item/1005010786530362.html?spm=a2g0o.order_detail.order_detail_item.2.5c464c7fKoYQ1F&amp;gatewayAdapt=glo2bra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7.0"/>
    <col customWidth="1" min="6" max="6" width="31.63"/>
    <col customWidth="1" min="7" max="26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17</v>
      </c>
      <c r="B2" s="6">
        <v>10.0</v>
      </c>
      <c r="C2" s="6">
        <v>2.0</v>
      </c>
      <c r="D2" s="6">
        <f t="shared" ref="D2:D5" si="1">INT(B2/C2)</f>
        <v>5</v>
      </c>
      <c r="E2" s="7">
        <v>8.05</v>
      </c>
      <c r="F2" s="7">
        <v>3.69</v>
      </c>
      <c r="G2" s="8">
        <f t="shared" ref="G2:G13" si="2">E2+F2</f>
        <v>11.74</v>
      </c>
      <c r="H2" s="7">
        <v>32.9</v>
      </c>
      <c r="I2" s="9">
        <v>0.3216</v>
      </c>
      <c r="J2" s="8">
        <f t="shared" ref="J2:J5" si="3">H2*(1-I2)</f>
        <v>22.31936</v>
      </c>
      <c r="K2" s="8">
        <f t="shared" ref="K2:K5" si="4">D2*J2</f>
        <v>111.5968</v>
      </c>
      <c r="L2" s="8">
        <f t="shared" ref="L2:L13" si="5">K2-G2</f>
        <v>99.8568</v>
      </c>
      <c r="M2" s="10"/>
      <c r="N2" s="11" t="s">
        <v>18</v>
      </c>
      <c r="O2" s="6" t="s">
        <v>19</v>
      </c>
      <c r="P2" s="12" t="s">
        <v>20</v>
      </c>
      <c r="R2" s="13"/>
      <c r="S2" s="13"/>
      <c r="T2" s="13"/>
      <c r="U2" s="13"/>
      <c r="V2" s="13"/>
      <c r="W2" s="13"/>
      <c r="X2" s="13"/>
      <c r="Y2" s="13"/>
      <c r="Z2" s="13"/>
    </row>
    <row r="3">
      <c r="A3" s="6" t="s">
        <v>21</v>
      </c>
      <c r="B3" s="6">
        <v>20.0</v>
      </c>
      <c r="C3" s="6">
        <v>2.0</v>
      </c>
      <c r="D3" s="6">
        <f t="shared" si="1"/>
        <v>10</v>
      </c>
      <c r="E3" s="7">
        <v>48.06</v>
      </c>
      <c r="F3" s="7">
        <v>21.5</v>
      </c>
      <c r="G3" s="8">
        <f t="shared" si="2"/>
        <v>69.56</v>
      </c>
      <c r="H3" s="7">
        <v>32.9</v>
      </c>
      <c r="I3" s="9">
        <v>0.3216</v>
      </c>
      <c r="J3" s="8">
        <f t="shared" si="3"/>
        <v>22.31936</v>
      </c>
      <c r="K3" s="8">
        <f t="shared" si="4"/>
        <v>223.1936</v>
      </c>
      <c r="L3" s="8">
        <f t="shared" si="5"/>
        <v>153.6336</v>
      </c>
      <c r="M3" s="14"/>
      <c r="N3" s="11" t="s">
        <v>18</v>
      </c>
      <c r="O3" s="6" t="s">
        <v>22</v>
      </c>
      <c r="P3" s="11" t="s">
        <v>23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6" t="s">
        <v>21</v>
      </c>
      <c r="B4" s="6">
        <v>8.0</v>
      </c>
      <c r="C4" s="6">
        <v>2.0</v>
      </c>
      <c r="D4" s="13">
        <f t="shared" si="1"/>
        <v>4</v>
      </c>
      <c r="E4" s="7">
        <v>6.99</v>
      </c>
      <c r="F4" s="7">
        <v>3.17</v>
      </c>
      <c r="G4" s="8">
        <f t="shared" si="2"/>
        <v>10.16</v>
      </c>
      <c r="H4" s="7">
        <v>32.9</v>
      </c>
      <c r="I4" s="9">
        <v>0.3216</v>
      </c>
      <c r="J4" s="8">
        <f t="shared" si="3"/>
        <v>22.31936</v>
      </c>
      <c r="K4" s="8">
        <f t="shared" si="4"/>
        <v>89.27744</v>
      </c>
      <c r="L4" s="8">
        <f t="shared" si="5"/>
        <v>79.11744</v>
      </c>
      <c r="M4" s="14"/>
      <c r="N4" s="11" t="s">
        <v>18</v>
      </c>
      <c r="O4" s="13"/>
      <c r="P4" s="11" t="s">
        <v>24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6" t="s">
        <v>17</v>
      </c>
      <c r="B5" s="6">
        <v>20.0</v>
      </c>
      <c r="C5" s="6">
        <v>2.0</v>
      </c>
      <c r="D5" s="13">
        <f t="shared" si="1"/>
        <v>10</v>
      </c>
      <c r="E5" s="7">
        <v>82.47</v>
      </c>
      <c r="F5" s="7">
        <v>25.49</v>
      </c>
      <c r="G5" s="8">
        <f t="shared" si="2"/>
        <v>107.96</v>
      </c>
      <c r="H5" s="7">
        <v>32.9</v>
      </c>
      <c r="I5" s="9">
        <v>0.3216</v>
      </c>
      <c r="J5" s="8">
        <f t="shared" si="3"/>
        <v>22.31936</v>
      </c>
      <c r="K5" s="8">
        <f t="shared" si="4"/>
        <v>223.1936</v>
      </c>
      <c r="L5" s="8">
        <f t="shared" si="5"/>
        <v>115.2336</v>
      </c>
      <c r="M5" s="14"/>
      <c r="N5" s="11" t="s">
        <v>18</v>
      </c>
      <c r="O5" s="13"/>
      <c r="P5" s="6" t="s">
        <v>25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0"/>
      <c r="D6" s="13"/>
      <c r="E6" s="8"/>
      <c r="F6" s="8"/>
      <c r="G6" s="8">
        <f t="shared" si="2"/>
        <v>0</v>
      </c>
      <c r="H6" s="8"/>
      <c r="I6" s="9">
        <v>0.3216</v>
      </c>
      <c r="J6" s="8"/>
      <c r="K6" s="13"/>
      <c r="L6" s="8">
        <f t="shared" si="5"/>
        <v>0</v>
      </c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8"/>
      <c r="F7" s="8"/>
      <c r="G7" s="8">
        <f t="shared" si="2"/>
        <v>0</v>
      </c>
      <c r="H7" s="8"/>
      <c r="I7" s="9">
        <v>0.3216</v>
      </c>
      <c r="J7" s="8"/>
      <c r="K7" s="13"/>
      <c r="L7" s="8">
        <f t="shared" si="5"/>
        <v>0</v>
      </c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8"/>
      <c r="F8" s="8"/>
      <c r="G8" s="8">
        <f t="shared" si="2"/>
        <v>0</v>
      </c>
      <c r="H8" s="8"/>
      <c r="I8" s="9">
        <v>0.3216</v>
      </c>
      <c r="J8" s="8"/>
      <c r="K8" s="13"/>
      <c r="L8" s="8">
        <f t="shared" si="5"/>
        <v>0</v>
      </c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8"/>
      <c r="F9" s="8"/>
      <c r="G9" s="8">
        <f t="shared" si="2"/>
        <v>0</v>
      </c>
      <c r="H9" s="8"/>
      <c r="I9" s="9">
        <v>0.3216</v>
      </c>
      <c r="J9" s="8"/>
      <c r="K9" s="13"/>
      <c r="L9" s="8">
        <f t="shared" si="5"/>
        <v>0</v>
      </c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8"/>
      <c r="F10" s="8"/>
      <c r="G10" s="8">
        <f t="shared" si="2"/>
        <v>0</v>
      </c>
      <c r="H10" s="8"/>
      <c r="I10" s="9">
        <v>0.3216</v>
      </c>
      <c r="J10" s="8"/>
      <c r="K10" s="13"/>
      <c r="L10" s="8">
        <f t="shared" si="5"/>
        <v>0</v>
      </c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8"/>
      <c r="F11" s="8"/>
      <c r="G11" s="8">
        <f t="shared" si="2"/>
        <v>0</v>
      </c>
      <c r="H11" s="8"/>
      <c r="I11" s="9">
        <v>0.3216</v>
      </c>
      <c r="J11" s="8"/>
      <c r="K11" s="13"/>
      <c r="L11" s="8">
        <f t="shared" si="5"/>
        <v>0</v>
      </c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8"/>
      <c r="F12" s="8"/>
      <c r="G12" s="8">
        <f t="shared" si="2"/>
        <v>0</v>
      </c>
      <c r="H12" s="8"/>
      <c r="I12" s="9">
        <v>0.3216</v>
      </c>
      <c r="J12" s="8"/>
      <c r="K12" s="13"/>
      <c r="L12" s="8">
        <f t="shared" si="5"/>
        <v>0</v>
      </c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8"/>
      <c r="F13" s="8"/>
      <c r="G13" s="8">
        <f t="shared" si="2"/>
        <v>0</v>
      </c>
      <c r="H13" s="8"/>
      <c r="I13" s="9">
        <v>0.3216</v>
      </c>
      <c r="J13" s="8"/>
      <c r="K13" s="13"/>
      <c r="L13" s="8">
        <f t="shared" si="5"/>
        <v>0</v>
      </c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/>
      <c r="B14" s="15"/>
      <c r="C14" s="15"/>
      <c r="D14" s="15"/>
      <c r="E14" s="16"/>
      <c r="F14" s="16"/>
      <c r="G14" s="15"/>
      <c r="H14" s="16"/>
      <c r="I14" s="17"/>
      <c r="J14" s="16"/>
      <c r="K14" s="15"/>
      <c r="L14" s="15"/>
      <c r="M14" s="18">
        <f>(SUM(K:K)-SUM(G:G))/SUM(G:G)</f>
        <v>2.245719787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</sheetData>
  <hyperlinks>
    <hyperlink r:id="rId1" ref="O1"/>
    <hyperlink r:id="rId2" ref="N2"/>
    <hyperlink r:id="rId3" ref="N3"/>
    <hyperlink r:id="rId4" ref="P3"/>
    <hyperlink r:id="rId5" ref="N4"/>
    <hyperlink r:id="rId6" ref="P4"/>
    <hyperlink r:id="rId7" ref="N5"/>
  </hyperlinks>
  <drawing r:id="rId8"/>
</worksheet>
</file>